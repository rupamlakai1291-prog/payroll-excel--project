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3064c1c33b9782/Desktop/"/>
    </mc:Choice>
  </mc:AlternateContent>
  <xr:revisionPtr revIDLastSave="420" documentId="8_{CB8C3EF7-3DC4-4DB2-9D1A-541BDE2882D2}" xr6:coauthVersionLast="47" xr6:coauthVersionMax="47" xr10:uidLastSave="{61B34642-7DE0-472F-AE04-21651108A3E6}"/>
  <bookViews>
    <workbookView xWindow="-108" yWindow="-108" windowWidth="23256" windowHeight="12456" xr2:uid="{4F4C04E6-FA14-4B81-96FA-20B3DE51B500}"/>
  </bookViews>
  <sheets>
    <sheet name="payroll sheet fe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O10" i="1"/>
  <c r="O11" i="1"/>
  <c r="O12" i="1"/>
  <c r="O13" i="1"/>
  <c r="O14" i="1"/>
  <c r="O15" i="1"/>
  <c r="O16" i="1"/>
  <c r="O17" i="1"/>
  <c r="O18" i="1"/>
  <c r="O9" i="1"/>
  <c r="N10" i="1"/>
  <c r="N11" i="1"/>
  <c r="N12" i="1"/>
  <c r="N13" i="1"/>
  <c r="N14" i="1"/>
  <c r="N15" i="1"/>
  <c r="N16" i="1"/>
  <c r="N17" i="1"/>
  <c r="N18" i="1"/>
  <c r="N9" i="1"/>
  <c r="M10" i="1"/>
  <c r="M11" i="1"/>
  <c r="M12" i="1"/>
  <c r="M13" i="1"/>
  <c r="M19" i="1" s="1"/>
  <c r="M14" i="1"/>
  <c r="M15" i="1"/>
  <c r="M16" i="1"/>
  <c r="M17" i="1"/>
  <c r="M18" i="1"/>
  <c r="M9" i="1"/>
  <c r="L10" i="1"/>
  <c r="L11" i="1"/>
  <c r="L12" i="1"/>
  <c r="L13" i="1"/>
  <c r="L14" i="1"/>
  <c r="L15" i="1"/>
  <c r="L16" i="1"/>
  <c r="L17" i="1"/>
  <c r="L18" i="1"/>
  <c r="L9" i="1"/>
  <c r="K9" i="1"/>
  <c r="K10" i="1"/>
  <c r="K11" i="1"/>
  <c r="K12" i="1"/>
  <c r="K13" i="1"/>
  <c r="K14" i="1"/>
  <c r="K15" i="1"/>
  <c r="K16" i="1"/>
  <c r="K17" i="1"/>
  <c r="K18" i="1"/>
  <c r="J10" i="1"/>
  <c r="J11" i="1"/>
  <c r="J12" i="1"/>
  <c r="J13" i="1"/>
  <c r="J14" i="1"/>
  <c r="J15" i="1"/>
  <c r="J16" i="1"/>
  <c r="J17" i="1"/>
  <c r="J18" i="1"/>
  <c r="J9" i="1"/>
  <c r="E5" i="1"/>
  <c r="B5" i="1"/>
  <c r="I19" i="1"/>
  <c r="G19" i="1"/>
  <c r="F19" i="1"/>
  <c r="E19" i="1"/>
  <c r="D19" i="1"/>
  <c r="H10" i="1"/>
  <c r="H11" i="1"/>
  <c r="H12" i="1"/>
  <c r="H13" i="1"/>
  <c r="H14" i="1"/>
  <c r="H15" i="1"/>
  <c r="H16" i="1"/>
  <c r="H17" i="1"/>
  <c r="H18" i="1"/>
  <c r="H9" i="1"/>
  <c r="K19" i="1" l="1"/>
  <c r="L19" i="1"/>
  <c r="H19" i="1"/>
  <c r="N5" i="1" l="1"/>
  <c r="N19" i="1"/>
</calcChain>
</file>

<file path=xl/sharedStrings.xml><?xml version="1.0" encoding="utf-8"?>
<sst xmlns="http://schemas.openxmlformats.org/spreadsheetml/2006/main" count="53" uniqueCount="51">
  <si>
    <t>EMP.ID</t>
  </si>
  <si>
    <t>Employee Name</t>
  </si>
  <si>
    <t>Designation</t>
  </si>
  <si>
    <t>Basic Salary</t>
  </si>
  <si>
    <t>HRA</t>
  </si>
  <si>
    <t>TA</t>
  </si>
  <si>
    <t>Other Allow.</t>
  </si>
  <si>
    <t>Gross Salary</t>
  </si>
  <si>
    <t>Days Present</t>
  </si>
  <si>
    <t>PF</t>
  </si>
  <si>
    <t>Total Deductions</t>
  </si>
  <si>
    <t>Status</t>
  </si>
  <si>
    <t>EMP-001</t>
  </si>
  <si>
    <t>EMP-002</t>
  </si>
  <si>
    <t>EMP-003</t>
  </si>
  <si>
    <t>EMP-004</t>
  </si>
  <si>
    <t>EMP-005</t>
  </si>
  <si>
    <t>EMP-006</t>
  </si>
  <si>
    <t>EMP-007</t>
  </si>
  <si>
    <t>EMP-008</t>
  </si>
  <si>
    <t>EMP-009</t>
  </si>
  <si>
    <t>EMP-010</t>
  </si>
  <si>
    <t>Rahul Sharma</t>
  </si>
  <si>
    <t>Rohit Sharma</t>
  </si>
  <si>
    <t>Pankaj Kashyap</t>
  </si>
  <si>
    <t>Tapan Gupta</t>
  </si>
  <si>
    <t>Bikash Chetry</t>
  </si>
  <si>
    <t>Nakul Nath</t>
  </si>
  <si>
    <t>Binita Devi</t>
  </si>
  <si>
    <t>Rashmi Sharma</t>
  </si>
  <si>
    <t>Dipendra Khadka</t>
  </si>
  <si>
    <t>Sneha Dhawan</t>
  </si>
  <si>
    <t>Manager</t>
  </si>
  <si>
    <t>Asst. Manager</t>
  </si>
  <si>
    <t>Head Chef</t>
  </si>
  <si>
    <t>Sous Chef</t>
  </si>
  <si>
    <t>Kitchen Helper</t>
  </si>
  <si>
    <t>Bartender</t>
  </si>
  <si>
    <t>Waiter</t>
  </si>
  <si>
    <t>Housekeeping</t>
  </si>
  <si>
    <t>Floor Manager</t>
  </si>
  <si>
    <t>Earned Salary</t>
  </si>
  <si>
    <t>Working Days</t>
  </si>
  <si>
    <t>EARNINGS</t>
  </si>
  <si>
    <t>DEDUCTIONS</t>
  </si>
  <si>
    <t>TOTAL</t>
  </si>
  <si>
    <t>Total Employees</t>
  </si>
  <si>
    <t>Total Gross Wages</t>
  </si>
  <si>
    <t>Net Payroll</t>
  </si>
  <si>
    <t>ESI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</si>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</sst>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  <xf numFmtId="0" fontId="1" fillId="0" borderId="2" xfId="0" applyFont="1" applyBorder="1"/>
    <xf numFmtId="0" fontId="1" fillId="0" borderId="4" xfId="0" applyFont="1" applyBorder="1"/>
    <xf numFmtId="0" fontId="6" fillId="4" borderId="0" xfId="0" applyFont="1" applyFill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1" fillId="0" borderId="3" xfId="0" applyFont="1" applyBorder="1"/>
    <xf numFmtId="0" fontId="3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754380</xdr:colOff>
      <xdr:row>2</xdr:row>
      <xdr:rowOff>190500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80B03DD-B75D-9FF5-1AEE-E640614E4546}"/>
            </a:ext>
          </a:extLst>
        </xdr:cNvPr>
        <xdr:cNvSpPr/>
      </xdr:nvSpPr>
      <xdr:spPr>
        <a:xfrm>
          <a:off x="0" y="0"/>
          <a:ext cx="11978640" cy="5562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aseline="0"/>
            <a:t>                                                                                                                                                                                 </a:t>
          </a:r>
          <a:r>
            <a:rPr lang="en-IN" sz="1400" b="1" baseline="0"/>
            <a:t>XYZ RESTAURANT</a:t>
          </a:r>
          <a:endParaRPr lang="en-IN" sz="1200" b="1" baseline="0"/>
        </a:p>
        <a:p>
          <a:pPr algn="l"/>
          <a:r>
            <a:rPr lang="en-IN" sz="1200"/>
            <a:t>                                                                                                                                                          </a:t>
          </a:r>
          <a:r>
            <a:rPr lang="en-IN" sz="1000"/>
            <a:t>MONTHLY STAFF</a:t>
          </a:r>
          <a:r>
            <a:rPr lang="en-IN" sz="1000" baseline="0"/>
            <a:t> PAYROLL SHEET- FEBRUARY 2025</a:t>
          </a:r>
          <a:endParaRPr lang="en-IN" sz="12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F54D9-4BDD-4365-BB93-846E590A2E2D}">
  <dimension ref="A3:O19"/>
  <sheetViews>
    <sheetView tabSelected="1" workbookViewId="0">
      <selection activeCell="J21" sqref="J21"/>
    </sheetView>
  </sheetViews>
  <sheetFormatPr defaultRowHeight="14.4" x14ac:dyDescent="0.3"/>
  <cols>
    <col min="1" max="1" width="8.21875" style="1" bestFit="1" customWidth="1"/>
    <col min="2" max="2" width="14.6640625" style="1" bestFit="1" customWidth="1"/>
    <col min="3" max="3" width="12.77734375" style="1" bestFit="1" customWidth="1"/>
    <col min="4" max="4" width="12" style="1" bestFit="1" customWidth="1"/>
    <col min="5" max="6" width="10.44140625" style="1" bestFit="1" customWidth="1"/>
    <col min="7" max="7" width="10.88671875" style="1" bestFit="1" customWidth="1"/>
    <col min="8" max="8" width="12" style="1" bestFit="1" customWidth="1"/>
    <col min="9" max="9" width="11.44140625" style="1" bestFit="1" customWidth="1"/>
    <col min="10" max="10" width="11.77734375" style="1" bestFit="1" customWidth="1"/>
    <col min="11" max="11" width="12" style="1" bestFit="1" customWidth="1"/>
    <col min="12" max="12" width="10.44140625" style="1" bestFit="1" customWidth="1"/>
    <col min="13" max="13" width="14.5546875" style="1" bestFit="1" customWidth="1"/>
    <col min="14" max="14" width="12" style="1" bestFit="1" customWidth="1"/>
    <col min="15" max="15" width="11.44140625" style="1" bestFit="1" customWidth="1"/>
    <col min="16" max="16384" width="8.88671875" style="1"/>
  </cols>
  <sheetData>
    <row r="3" spans="1:15" ht="15.6" x14ac:dyDescent="0.3">
      <c r="G3" s="13"/>
      <c r="H3" s="13"/>
      <c r="I3" s="13"/>
      <c r="J3" s="13"/>
      <c r="K3" s="13"/>
      <c r="L3" s="13"/>
      <c r="M3" s="13"/>
      <c r="N3" s="13"/>
    </row>
    <row r="4" spans="1:15" ht="15.6" x14ac:dyDescent="0.3">
      <c r="A4" s="9"/>
      <c r="B4" s="12" t="s">
        <v>46</v>
      </c>
      <c r="C4" s="9"/>
      <c r="D4" s="9"/>
      <c r="E4" s="12" t="s">
        <v>42</v>
      </c>
      <c r="F4" s="9"/>
      <c r="G4" s="14"/>
      <c r="H4" s="12" t="s">
        <v>47</v>
      </c>
      <c r="I4" s="14"/>
      <c r="J4" s="14"/>
      <c r="K4" s="12" t="s">
        <v>10</v>
      </c>
      <c r="L4" s="14"/>
      <c r="M4" s="14"/>
      <c r="N4" s="12" t="s">
        <v>48</v>
      </c>
      <c r="O4" s="9"/>
    </row>
    <row r="5" spans="1:15" x14ac:dyDescent="0.3">
      <c r="A5" s="10"/>
      <c r="B5" s="10">
        <f>COUNTA(A9:A18)</f>
        <v>10</v>
      </c>
      <c r="C5" s="10"/>
      <c r="D5" s="10"/>
      <c r="E5" s="10">
        <f>26</f>
        <v>26</v>
      </c>
      <c r="F5" s="10"/>
      <c r="G5" s="10"/>
      <c r="H5" s="11">
        <v>333700</v>
      </c>
      <c r="I5" s="10"/>
      <c r="J5" s="10"/>
      <c r="K5" s="11">
        <f>ROUND(K19+L19,0)</f>
        <v>36850</v>
      </c>
      <c r="L5" s="10"/>
      <c r="M5" s="10"/>
      <c r="N5" s="11">
        <f>SUM(N9:N18)</f>
        <v>268957.76923076925</v>
      </c>
      <c r="O5" s="10"/>
    </row>
    <row r="6" spans="1:15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4" t="s">
        <v>41</v>
      </c>
      <c r="K7" s="4" t="s">
        <v>9</v>
      </c>
      <c r="L7" s="4" t="s">
        <v>49</v>
      </c>
      <c r="M7" s="4" t="s">
        <v>10</v>
      </c>
      <c r="N7" s="4" t="s">
        <v>50</v>
      </c>
      <c r="O7" s="17" t="s">
        <v>11</v>
      </c>
    </row>
    <row r="8" spans="1:15" x14ac:dyDescent="0.3">
      <c r="A8" s="22"/>
      <c r="B8" s="23"/>
      <c r="C8" s="24"/>
      <c r="D8" s="21" t="s">
        <v>43</v>
      </c>
      <c r="E8" s="21"/>
      <c r="F8" s="21"/>
      <c r="G8" s="21"/>
      <c r="H8" s="21"/>
      <c r="I8" s="15"/>
      <c r="J8" s="20" t="s">
        <v>44</v>
      </c>
      <c r="K8" s="20"/>
      <c r="L8" s="20"/>
      <c r="M8" s="20"/>
      <c r="N8" s="19"/>
      <c r="O8" s="16"/>
    </row>
    <row r="9" spans="1:15" x14ac:dyDescent="0.3">
      <c r="A9" s="5" t="s">
        <v>12</v>
      </c>
      <c r="B9" s="5" t="s">
        <v>22</v>
      </c>
      <c r="C9" s="5" t="s">
        <v>32</v>
      </c>
      <c r="D9" s="6">
        <v>30000</v>
      </c>
      <c r="E9" s="6">
        <v>9500</v>
      </c>
      <c r="F9" s="6">
        <v>2000</v>
      </c>
      <c r="G9" s="6">
        <v>2000</v>
      </c>
      <c r="H9" s="6">
        <f>SUM(D9:G9)</f>
        <v>43500</v>
      </c>
      <c r="I9" s="5">
        <v>26</v>
      </c>
      <c r="J9" s="6">
        <f>H9/$E$5*I9</f>
        <v>43500</v>
      </c>
      <c r="K9" s="6">
        <f>J9*12%</f>
        <v>5220</v>
      </c>
      <c r="L9" s="6">
        <f>IF(H9&lt;=21000,H9*0.75%,0)</f>
        <v>0</v>
      </c>
      <c r="M9" s="6">
        <f>SUM(K9,L9)</f>
        <v>5220</v>
      </c>
      <c r="N9" s="6">
        <f>J9-M9</f>
        <v>38280</v>
      </c>
      <c r="O9" s="5" t="str">
        <f>IF(I9=0,"Pending",IF(I9=26,"Paid","Partial"))</f>
        <v>Paid</v>
      </c>
    </row>
    <row r="10" spans="1:15" x14ac:dyDescent="0.3">
      <c r="A10" s="5" t="s">
        <v>13</v>
      </c>
      <c r="B10" s="5" t="s">
        <v>31</v>
      </c>
      <c r="C10" s="5" t="s">
        <v>33</v>
      </c>
      <c r="D10" s="6">
        <v>25000</v>
      </c>
      <c r="E10" s="6">
        <v>8300</v>
      </c>
      <c r="F10" s="6">
        <v>1500</v>
      </c>
      <c r="G10" s="6">
        <v>1500</v>
      </c>
      <c r="H10" s="6">
        <f t="shared" ref="H10:H18" si="0">SUM(D10:G10)</f>
        <v>36300</v>
      </c>
      <c r="I10" s="5">
        <v>24</v>
      </c>
      <c r="J10" s="6">
        <f t="shared" ref="J10:J18" si="1">H10/$E$5*I10</f>
        <v>33507.692307692312</v>
      </c>
      <c r="K10" s="6">
        <f t="shared" ref="K10:K18" si="2">J10*12%</f>
        <v>4020.9230769230771</v>
      </c>
      <c r="L10" s="6">
        <f t="shared" ref="L10:L18" si="3">IF(H10&lt;=21000,H10*0.75%,0)</f>
        <v>0</v>
      </c>
      <c r="M10" s="6">
        <f t="shared" ref="M10:M18" si="4">SUM(K10,L10)</f>
        <v>4020.9230769230771</v>
      </c>
      <c r="N10" s="6">
        <f t="shared" ref="N10:N18" si="5">J10-M10</f>
        <v>29486.769230769234</v>
      </c>
      <c r="O10" s="5" t="str">
        <f t="shared" ref="O10:O18" si="6">IF(I10=0,"Pending",IF(I10=26,"Paid","Partial"))</f>
        <v>Partial</v>
      </c>
    </row>
    <row r="11" spans="1:15" x14ac:dyDescent="0.3">
      <c r="A11" s="5" t="s">
        <v>14</v>
      </c>
      <c r="B11" s="5" t="s">
        <v>23</v>
      </c>
      <c r="C11" s="5" t="s">
        <v>34</v>
      </c>
      <c r="D11" s="6">
        <v>35000</v>
      </c>
      <c r="E11" s="6">
        <v>9500</v>
      </c>
      <c r="F11" s="6">
        <v>2000</v>
      </c>
      <c r="G11" s="6">
        <v>2000</v>
      </c>
      <c r="H11" s="6">
        <f t="shared" si="0"/>
        <v>48500</v>
      </c>
      <c r="I11" s="5">
        <v>20</v>
      </c>
      <c r="J11" s="6">
        <f t="shared" si="1"/>
        <v>37307.692307692312</v>
      </c>
      <c r="K11" s="6">
        <f t="shared" si="2"/>
        <v>4476.9230769230771</v>
      </c>
      <c r="L11" s="6">
        <f t="shared" si="3"/>
        <v>0</v>
      </c>
      <c r="M11" s="6">
        <f t="shared" si="4"/>
        <v>4476.9230769230771</v>
      </c>
      <c r="N11" s="6">
        <f t="shared" si="5"/>
        <v>32830.769230769234</v>
      </c>
      <c r="O11" s="5" t="str">
        <f t="shared" si="6"/>
        <v>Partial</v>
      </c>
    </row>
    <row r="12" spans="1:15" x14ac:dyDescent="0.3">
      <c r="A12" s="5" t="s">
        <v>15</v>
      </c>
      <c r="B12" s="5" t="s">
        <v>24</v>
      </c>
      <c r="C12" s="5" t="s">
        <v>35</v>
      </c>
      <c r="D12" s="6">
        <v>35000</v>
      </c>
      <c r="E12" s="6">
        <v>9000</v>
      </c>
      <c r="F12" s="6">
        <v>2000</v>
      </c>
      <c r="G12" s="6">
        <v>2000</v>
      </c>
      <c r="H12" s="6">
        <f t="shared" si="0"/>
        <v>48000</v>
      </c>
      <c r="I12" s="5">
        <v>26</v>
      </c>
      <c r="J12" s="6">
        <f t="shared" si="1"/>
        <v>48000</v>
      </c>
      <c r="K12" s="6">
        <f t="shared" si="2"/>
        <v>5760</v>
      </c>
      <c r="L12" s="6">
        <f t="shared" si="3"/>
        <v>0</v>
      </c>
      <c r="M12" s="6">
        <f t="shared" si="4"/>
        <v>5760</v>
      </c>
      <c r="N12" s="6">
        <f t="shared" si="5"/>
        <v>42240</v>
      </c>
      <c r="O12" s="5" t="str">
        <f t="shared" si="6"/>
        <v>Paid</v>
      </c>
    </row>
    <row r="13" spans="1:15" x14ac:dyDescent="0.3">
      <c r="A13" s="5" t="s">
        <v>16</v>
      </c>
      <c r="B13" s="5" t="s">
        <v>25</v>
      </c>
      <c r="C13" s="5" t="s">
        <v>36</v>
      </c>
      <c r="D13" s="6">
        <v>20000</v>
      </c>
      <c r="E13" s="6">
        <v>7500</v>
      </c>
      <c r="F13" s="6">
        <v>1000</v>
      </c>
      <c r="G13" s="6">
        <v>800</v>
      </c>
      <c r="H13" s="6">
        <f t="shared" si="0"/>
        <v>29300</v>
      </c>
      <c r="I13" s="5">
        <v>26</v>
      </c>
      <c r="J13" s="6">
        <f t="shared" si="1"/>
        <v>29300</v>
      </c>
      <c r="K13" s="6">
        <f t="shared" si="2"/>
        <v>3516</v>
      </c>
      <c r="L13" s="6">
        <f t="shared" si="3"/>
        <v>0</v>
      </c>
      <c r="M13" s="6">
        <f t="shared" si="4"/>
        <v>3516</v>
      </c>
      <c r="N13" s="6">
        <f t="shared" si="5"/>
        <v>25784</v>
      </c>
      <c r="O13" s="5" t="str">
        <f t="shared" si="6"/>
        <v>Paid</v>
      </c>
    </row>
    <row r="14" spans="1:15" x14ac:dyDescent="0.3">
      <c r="A14" s="5" t="s">
        <v>17</v>
      </c>
      <c r="B14" s="5" t="s">
        <v>26</v>
      </c>
      <c r="C14" s="5" t="s">
        <v>37</v>
      </c>
      <c r="D14" s="6">
        <v>25000</v>
      </c>
      <c r="E14" s="6">
        <v>7500</v>
      </c>
      <c r="F14" s="6">
        <v>1000</v>
      </c>
      <c r="G14" s="6">
        <v>800</v>
      </c>
      <c r="H14" s="6">
        <f t="shared" si="0"/>
        <v>34300</v>
      </c>
      <c r="I14" s="5">
        <v>22</v>
      </c>
      <c r="J14" s="6">
        <f t="shared" si="1"/>
        <v>29023.076923076926</v>
      </c>
      <c r="K14" s="6">
        <f t="shared" si="2"/>
        <v>3482.7692307692309</v>
      </c>
      <c r="L14" s="6">
        <f t="shared" si="3"/>
        <v>0</v>
      </c>
      <c r="M14" s="6">
        <f t="shared" si="4"/>
        <v>3482.7692307692309</v>
      </c>
      <c r="N14" s="6">
        <f t="shared" si="5"/>
        <v>25540.307692307695</v>
      </c>
      <c r="O14" s="5" t="str">
        <f t="shared" si="6"/>
        <v>Partial</v>
      </c>
    </row>
    <row r="15" spans="1:15" x14ac:dyDescent="0.3">
      <c r="A15" s="5" t="s">
        <v>18</v>
      </c>
      <c r="B15" s="5" t="s">
        <v>27</v>
      </c>
      <c r="C15" s="5" t="s">
        <v>38</v>
      </c>
      <c r="D15" s="6">
        <v>18000</v>
      </c>
      <c r="E15" s="6">
        <v>5000</v>
      </c>
      <c r="F15" s="6">
        <v>500</v>
      </c>
      <c r="G15" s="6">
        <v>500</v>
      </c>
      <c r="H15" s="6">
        <f t="shared" si="0"/>
        <v>24000</v>
      </c>
      <c r="I15" s="5">
        <v>23</v>
      </c>
      <c r="J15" s="6">
        <f t="shared" si="1"/>
        <v>21230.76923076923</v>
      </c>
      <c r="K15" s="6">
        <f t="shared" si="2"/>
        <v>2547.6923076923076</v>
      </c>
      <c r="L15" s="6">
        <f t="shared" si="3"/>
        <v>0</v>
      </c>
      <c r="M15" s="6">
        <f t="shared" si="4"/>
        <v>2547.6923076923076</v>
      </c>
      <c r="N15" s="6">
        <f t="shared" si="5"/>
        <v>18683.076923076922</v>
      </c>
      <c r="O15" s="5" t="str">
        <f t="shared" si="6"/>
        <v>Partial</v>
      </c>
    </row>
    <row r="16" spans="1:15" x14ac:dyDescent="0.3">
      <c r="A16" s="5" t="s">
        <v>19</v>
      </c>
      <c r="B16" s="5" t="s">
        <v>28</v>
      </c>
      <c r="C16" s="5" t="s">
        <v>38</v>
      </c>
      <c r="D16" s="6">
        <v>18000</v>
      </c>
      <c r="E16" s="6">
        <v>5000</v>
      </c>
      <c r="F16" s="6">
        <v>500</v>
      </c>
      <c r="G16" s="6">
        <v>500</v>
      </c>
      <c r="H16" s="6">
        <f t="shared" si="0"/>
        <v>24000</v>
      </c>
      <c r="I16" s="5">
        <v>26</v>
      </c>
      <c r="J16" s="6">
        <f t="shared" si="1"/>
        <v>24000</v>
      </c>
      <c r="K16" s="6">
        <f t="shared" si="2"/>
        <v>2880</v>
      </c>
      <c r="L16" s="6">
        <f t="shared" si="3"/>
        <v>0</v>
      </c>
      <c r="M16" s="6">
        <f t="shared" si="4"/>
        <v>2880</v>
      </c>
      <c r="N16" s="6">
        <f t="shared" si="5"/>
        <v>21120</v>
      </c>
      <c r="O16" s="5" t="str">
        <f t="shared" si="6"/>
        <v>Paid</v>
      </c>
    </row>
    <row r="17" spans="1:15" x14ac:dyDescent="0.3">
      <c r="A17" s="5" t="s">
        <v>20</v>
      </c>
      <c r="B17" s="5" t="s">
        <v>29</v>
      </c>
      <c r="C17" s="5" t="s">
        <v>39</v>
      </c>
      <c r="D17" s="6">
        <v>15000</v>
      </c>
      <c r="E17" s="6">
        <v>4500</v>
      </c>
      <c r="F17" s="6">
        <v>450</v>
      </c>
      <c r="G17" s="6">
        <v>450</v>
      </c>
      <c r="H17" s="6">
        <f t="shared" si="0"/>
        <v>20400</v>
      </c>
      <c r="I17" s="5">
        <v>26</v>
      </c>
      <c r="J17" s="6">
        <f t="shared" si="1"/>
        <v>20400</v>
      </c>
      <c r="K17" s="6">
        <f t="shared" si="2"/>
        <v>2448</v>
      </c>
      <c r="L17" s="6">
        <f t="shared" si="3"/>
        <v>153</v>
      </c>
      <c r="M17" s="6">
        <f t="shared" si="4"/>
        <v>2601</v>
      </c>
      <c r="N17" s="6">
        <f t="shared" si="5"/>
        <v>17799</v>
      </c>
      <c r="O17" s="5" t="str">
        <f t="shared" si="6"/>
        <v>Paid</v>
      </c>
    </row>
    <row r="18" spans="1:15" x14ac:dyDescent="0.3">
      <c r="A18" s="5" t="s">
        <v>21</v>
      </c>
      <c r="B18" s="5" t="s">
        <v>30</v>
      </c>
      <c r="C18" s="5" t="s">
        <v>40</v>
      </c>
      <c r="D18" s="6">
        <v>20000</v>
      </c>
      <c r="E18" s="6">
        <v>4500</v>
      </c>
      <c r="F18" s="6">
        <v>450</v>
      </c>
      <c r="G18" s="6">
        <v>450</v>
      </c>
      <c r="H18" s="6">
        <f t="shared" si="0"/>
        <v>25400</v>
      </c>
      <c r="I18" s="5">
        <v>20</v>
      </c>
      <c r="J18" s="6">
        <f t="shared" si="1"/>
        <v>19538.461538461539</v>
      </c>
      <c r="K18" s="6">
        <f t="shared" si="2"/>
        <v>2344.6153846153848</v>
      </c>
      <c r="L18" s="6">
        <f t="shared" si="3"/>
        <v>0</v>
      </c>
      <c r="M18" s="6">
        <f t="shared" si="4"/>
        <v>2344.6153846153848</v>
      </c>
      <c r="N18" s="6">
        <f t="shared" si="5"/>
        <v>17193.846153846156</v>
      </c>
      <c r="O18" s="5" t="str">
        <f t="shared" si="6"/>
        <v>Partial</v>
      </c>
    </row>
    <row r="19" spans="1:15" x14ac:dyDescent="0.3">
      <c r="A19" s="21" t="s">
        <v>45</v>
      </c>
      <c r="B19" s="21"/>
      <c r="C19" s="21"/>
      <c r="D19" s="7">
        <f t="shared" ref="D19:N19" si="7">SUM(D9:D18)</f>
        <v>241000</v>
      </c>
      <c r="E19" s="7">
        <f t="shared" si="7"/>
        <v>70300</v>
      </c>
      <c r="F19" s="7">
        <f t="shared" si="7"/>
        <v>11400</v>
      </c>
      <c r="G19" s="7">
        <f t="shared" si="7"/>
        <v>11000</v>
      </c>
      <c r="H19" s="7">
        <f t="shared" si="7"/>
        <v>333700</v>
      </c>
      <c r="I19" s="3">
        <f t="shared" si="7"/>
        <v>239</v>
      </c>
      <c r="J19" s="18"/>
      <c r="K19" s="7">
        <f t="shared" si="7"/>
        <v>36696.923076923078</v>
      </c>
      <c r="L19" s="7">
        <f t="shared" si="7"/>
        <v>153</v>
      </c>
      <c r="M19" s="7">
        <f t="shared" si="7"/>
        <v>36849.923076923078</v>
      </c>
      <c r="N19" s="7">
        <f t="shared" si="7"/>
        <v>268957.76923076925</v>
      </c>
      <c r="O19" s="8"/>
    </row>
  </sheetData>
  <mergeCells count="4">
    <mergeCell ref="J8:M8"/>
    <mergeCell ref="D8:H8"/>
    <mergeCell ref="A19:C19"/>
    <mergeCell ref="A8:C8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sheet feb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yadav lakai</dc:creator>
  <cp:lastModifiedBy>yadav lakai</cp:lastModifiedBy>
  <dcterms:created xsi:type="dcterms:W3CDTF">2026-04-06T04:48:57Z</dcterms:created>
  <dcterms:modified xsi:type="dcterms:W3CDTF">2026-04-06T11:31:05Z</dcterms:modified>
</cp:coreProperties>
</file>